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est Cost Breakdown" sheetId="1" state="visible" r:id="rId3"/>
    <sheet name="Tolulope Personal Co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<sst xmlns="http://schemas.openxmlformats.org/spreadsheetml/2006/main" count="101" uniqueCount="98">
  <si>
    <t xml:space="preserve">Tols 4.0 — Forty and Forward · Marbella, Spain</t>
  </si>
  <si>
    <t xml:space="preserve">2 - 7 April 2027 - Nueva Andalucia - Cost breakdown for the 12 confirmed guests</t>
  </si>
  <si>
    <t xml:space="preserve">All figures in USD (EUR ~ $1.08). Costs below are the shared trip pot only - decor, gifts, the welcome-week extras, the birthday-night dinner and the beach club are hosted separately by Tolulope and are not part of what you're being asked to cover.</t>
  </si>
  <si>
    <t xml:space="preserve">Guests confirmed</t>
  </si>
  <si>
    <t xml:space="preserve">COST ITEM</t>
  </si>
  <si>
    <t xml:space="preserve">TOTAL (12 guests)</t>
  </si>
  <si>
    <t xml:space="preserve">PER GUEST</t>
  </si>
  <si>
    <t xml:space="preserve">NOTES</t>
  </si>
  <si>
    <t xml:space="preserve">VILLA</t>
  </si>
  <si>
    <t xml:space="preserve">Villa (7BR target, 5 nights, Nueva Andalucia)</t>
  </si>
  <si>
    <t xml:space="preserve">Not yet booked - this is the working quote. Confirm exact cost once contracted.</t>
  </si>
  <si>
    <t xml:space="preserve">End-of-stay cleaning fee</t>
  </si>
  <si>
    <t xml:space="preserve">Estimate based on comparable large Costa del Sol villas (EUR300-500+). Confirm with villa - may already be bundled into the quote above.</t>
  </si>
  <si>
    <t xml:space="preserve">Villa subtotal</t>
  </si>
  <si>
    <t xml:space="preserve">CHEF &amp; FOOD</t>
  </si>
  <si>
    <t xml:space="preserve">Private chef - 4 breakfasts + welcome dinner</t>
  </si>
  <si>
    <t xml:space="preserve">Prorated 5/6 of the EUR1,800 chef package (6 meals). Birthday dinner is hosted separately by Tolulope.</t>
  </si>
  <si>
    <t xml:space="preserve">Chef groceries &amp; ingredients</t>
  </si>
  <si>
    <t xml:space="preserve">Prorated 5/6 of the original grocery estimate, matching the meals above.</t>
  </si>
  <si>
    <t xml:space="preserve">General villa groceries (snacks, drinks)</t>
  </si>
  <si>
    <t xml:space="preserve">Fixed budget - should not exceed $150 total.</t>
  </si>
  <si>
    <t xml:space="preserve">Chef &amp; food subtotal</t>
  </si>
  <si>
    <t xml:space="preserve">TRANSPORT</t>
  </si>
  <si>
    <t xml:space="preserve">~Taxi Day 2 - Old Town tapas tour</t>
  </si>
  <si>
    <t xml:space="preserve">Estimate (~). Exact taxi cost TBD - group will organize as arrival details firm up closer to the date.</t>
  </si>
  <si>
    <t xml:space="preserve">~Taxi Day 3 - port, boat &amp; flamenco</t>
  </si>
  <si>
    <t xml:space="preserve">Estimate (~).</t>
  </si>
  <si>
    <t xml:space="preserve">~Taxi Day 4 - Day 4 activity + afternoon</t>
  </si>
  <si>
    <t xml:space="preserve">~Taxi Day 5 - Nerja, Frigiliana &amp; birthday</t>
  </si>
  <si>
    <t xml:space="preserve">Ad hoc buffer (Puerto Banus farewell, unplanned trips)</t>
  </si>
  <si>
    <t xml:space="preserve">Transport subtotal</t>
  </si>
  <si>
    <t xml:space="preserve">Airport shuttle removed - guests arriving together will organize transfers closer to the date.</t>
  </si>
  <si>
    <t xml:space="preserve">ACTIVITIES (tax-inclusive, priced from current listings)</t>
  </si>
  <si>
    <t xml:space="preserve">Tapas &amp; walking tour - Day 2</t>
  </si>
  <si>
    <t xml:space="preserve">~EUR85pp incl. tax. Benchmarked vs. comparable Marbella tours (EUR70-100pp) - reconfirm nearer the date.</t>
  </si>
  <si>
    <t xml:space="preserve">Private boat charter, 2 hrs - Day 3</t>
  </si>
  <si>
    <t xml:space="preserve">Flat rate incl. tax, crew &amp; drinks. Benchmarked vs. comparable Marbella charters (~EUR690 flat) - reconfirm nearer the date.</t>
  </si>
  <si>
    <t xml:space="preserve">Flamenco show - Day 3 evening</t>
  </si>
  <si>
    <t xml:space="preserve">EUR39pp incl. tax &amp; one drink. Source: Tablao Flamenco Marbella listed price.</t>
  </si>
  <si>
    <t xml:space="preserve">"Fashion Museum" - Day 4</t>
  </si>
  <si>
    <t xml:space="preserve">UNCONFIRMED: no dedicated Fashion Museum found in Marbella. Please confirm what this activity actually is before booking.</t>
  </si>
  <si>
    <t xml:space="preserve">Nerja Caves - Day 5</t>
  </si>
  <si>
    <t xml:space="preserve">EUR14pp incl. tax. Source: official Cueva de Nerja adult pricing.</t>
  </si>
  <si>
    <t xml:space="preserve">Activities subtotal</t>
  </si>
  <si>
    <t xml:space="preserve">Beach club removed - hosted separately by Tolulope.</t>
  </si>
  <si>
    <t xml:space="preserve">TOTAL TRIP COST (12 guests)</t>
  </si>
  <si>
    <t xml:space="preserve">This is the shared cost being split across the 12 confirmed guests.</t>
  </si>
  <si>
    <t xml:space="preserve">AMOUNT TO PAY, PER GUEST</t>
  </si>
  <si>
    <t xml:space="preserve">This is your share of the trip.</t>
  </si>
  <si>
    <t xml:space="preserve">Already taken care of by Tolulope - not part of your contribution:</t>
  </si>
  <si>
    <t xml:space="preserve">- Welcome decor, the pool transformation and the birthday keepsake gifts</t>
  </si>
  <si>
    <t xml:space="preserve">- The fashion-show runway setup</t>
  </si>
  <si>
    <t xml:space="preserve">- The birthday-night dinner (Day 5/6) and the beach club afternoon</t>
  </si>
  <si>
    <t xml:space="preserve">- A contingency reserve for tips and any last-minute overruns</t>
  </si>
  <si>
    <t xml:space="preserve">Tolulope's Personal Costs - NOT in the Guest Pot</t>
  </si>
  <si>
    <t xml:space="preserve">Private tab - not for guest circulation. All figures in USD (EUR ~ $1.08).</t>
  </si>
  <si>
    <t xml:space="preserve">ITEM</t>
  </si>
  <si>
    <t xml:space="preserve">COST</t>
  </si>
  <si>
    <t xml:space="preserve">DECOR</t>
  </si>
  <si>
    <t xml:space="preserve">Pool transformation - birthday evening</t>
  </si>
  <si>
    <t xml:space="preserve">Fairy lights, flowers, candles.</t>
  </si>
  <si>
    <t xml:space="preserve">Welcome flowers - villa arrival</t>
  </si>
  <si>
    <t xml:space="preserve">Fresh blooms.</t>
  </si>
  <si>
    <t xml:space="preserve">Note to Her Future Self - prompt cards</t>
  </si>
  <si>
    <t xml:space="preserve">Print before trip.</t>
  </si>
  <si>
    <t xml:space="preserve">Decor subtotal</t>
  </si>
  <si>
    <t xml:space="preserve">FASHION SHOW SETUP</t>
  </si>
  <si>
    <t xml:space="preserve">Runway - fairy lights, floor runner</t>
  </si>
  <si>
    <t xml:space="preserve">String lights + fabric runner.</t>
  </si>
  <si>
    <t xml:space="preserve">Bluetooth speaker</t>
  </si>
  <si>
    <t xml:space="preserve">Runway music.</t>
  </si>
  <si>
    <t xml:space="preserve">Fashion subtotal</t>
  </si>
  <si>
    <t xml:space="preserve">HOSTED MEALS, NIGHTS &amp; BEACH CLUB (not in group pot)</t>
  </si>
  <si>
    <t xml:space="preserve">Birthday dinner - chef, Day 5/6 (prorated 1/6 of package)</t>
  </si>
  <si>
    <t xml:space="preserve">1/6 of EUR1,800 chef package (fee + groceries). Estimate - confirm actual split with chef.</t>
  </si>
  <si>
    <t xml:space="preserve">Night out at the bar (Day 1 welcome evening)</t>
  </si>
  <si>
    <t xml:space="preserve">Cost TBD - tell me the amount and I'll update this line.</t>
  </si>
  <si>
    <t xml:space="preserve">Beach club - Day 2 evening (EUR150pp)</t>
  </si>
  <si>
    <t xml:space="preserve">Now fully hosted by Tolulope (moved out of the group pot). EUR150pp benchmark - actual beach-club pricing varies widely (~EUR60-980+ per bed/table) - reconfirm once reserved.</t>
  </si>
  <si>
    <t xml:space="preserve">Hosted meals, nights &amp; beach club subtotal</t>
  </si>
  <si>
    <t xml:space="preserve">GUEST GIFTS (separate - not in $2k personal target)</t>
  </si>
  <si>
    <t xml:space="preserve">Welcome gift - $30pp x 12 guests</t>
  </si>
  <si>
    <t xml:space="preserve">$30pp x 12.</t>
  </si>
  <si>
    <t xml:space="preserve">Birthday keepsake - $15pp x 12 guests</t>
  </si>
  <si>
    <t xml:space="preserve">$15pp x 12. Personalised note.</t>
  </si>
  <si>
    <t xml:space="preserve">Gifts subtotal</t>
  </si>
  <si>
    <t xml:space="preserve">CONTINGENCY</t>
  </si>
  <si>
    <t xml:space="preserve">Contingency - tips, overruns</t>
  </si>
  <si>
    <t xml:space="preserve">Chef &amp; driver tips. Price rises.</t>
  </si>
  <si>
    <t xml:space="preserve">TOTAL PERSONAL (excl. gifts)</t>
  </si>
  <si>
    <t xml:space="preserve">TOTAL PERSONAL (incl. gifts)</t>
  </si>
  <si>
    <t xml:space="preserve">Full picture.</t>
  </si>
  <si>
    <t xml:space="preserve">Open items to confirm:</t>
  </si>
  <si>
    <t xml:space="preserve">1. Villa: $8,700 is the working figure - confirm once contracted, and whether it already includes cleaning.</t>
  </si>
  <si>
    <t xml:space="preserve">2. "Fashion Museum" (Day 4, guest tab): no such venue found in Marbella - confirm what this activity is.</t>
  </si>
  <si>
    <t xml:space="preserve">3. Night out at the bar: cost still TBD - send the amount and I'll drop it in.</t>
  </si>
  <si>
    <t xml:space="preserve">4. Chef package split (welcome dinner/breakfasts vs. birthday dinner): a 5/6-1/6 proration estimate - confirm the real split with the chef.</t>
  </si>
  <si>
    <t xml:space="preserve">5. Beach club: EUR150pp is a planning benchmark: actual pricing at Marbella beach clubs varies widely by venue and day - confirm once booked.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</si>
</sst>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1942"/>
      <name val="Arial"/>
      <family val="0"/>
      <charset val="1"/>
    </font>
    <font>
      <i val="true"/>
      <sz val="10"/>
      <color rgb="FF4A1942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194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i val="true"/>
      <sz val="9"/>
      <color rgb="FF4A194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1942"/>
        <bgColor rgb="FF660066"/>
      </patternFill>
    </fill>
    <fill>
      <patternFill patternType="solid">
        <fgColor rgb="FFD8B96A"/>
        <bgColor rgb="FFCCCCCC"/>
      </patternFill>
    </fill>
    <fill>
      <patternFill patternType="solid">
        <fgColor rgb="FFF1E6C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A7A7A"/>
      <rgbColor rgb="FF9999FF"/>
      <rgbColor rgb="FF993366"/>
      <rgbColor rgb="FFF1E6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B96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19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5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30" hidden="false" customHeight="true" outlineLevel="0" collapsed="false">
      <c r="A3" s="4" t="s">
        <v>2</v>
      </c>
      <c r="B3" s="4"/>
      <c r="C3" s="4"/>
      <c r="D3" s="4"/>
    </row>
    <row r="5" customFormat="false" ht="15" hidden="false" customHeight="true" outlineLevel="0" collapsed="false">
      <c r="A5" s="5" t="s">
        <v>3</v>
      </c>
      <c r="B5" s="6" t="n">
        <v>12</v>
      </c>
    </row>
    <row r="7" customFormat="false" ht="18" hidden="false" customHeight="true" outlineLevel="0" collapsed="false">
      <c r="A7" s="7" t="s">
        <v>4</v>
      </c>
      <c r="B7" s="8" t="s">
        <v>5</v>
      </c>
      <c r="C7" s="8" t="s">
        <v>6</v>
      </c>
      <c r="D7" s="7" t="s">
        <v>7</v>
      </c>
    </row>
    <row r="8" customFormat="false" ht="15" hidden="false" customHeight="true" outlineLevel="0" collapsed="false">
      <c r="A8" s="9" t="s">
        <v>8</v>
      </c>
      <c r="B8" s="9"/>
      <c r="C8" s="9"/>
      <c r="D8" s="9"/>
    </row>
    <row r="9" customFormat="false" ht="21.75" hidden="false" customHeight="true" outlineLevel="0" collapsed="false">
      <c r="A9" s="10" t="s">
        <v>9</v>
      </c>
      <c r="B9" s="11" t="n">
        <v>8700</v>
      </c>
      <c r="C9" s="12" t="n">
        <f aca="false">B9/$B$5</f>
        <v>725</v>
      </c>
      <c r="D9" s="13" t="s">
        <v>10</v>
      </c>
    </row>
    <row r="10" customFormat="false" ht="21.75" hidden="false" customHeight="true" outlineLevel="0" collapsed="false">
      <c r="A10" s="10" t="s">
        <v>11</v>
      </c>
      <c r="B10" s="11" t="n">
        <v>500</v>
      </c>
      <c r="C10" s="12" t="n">
        <f aca="false">B10/$B$5</f>
        <v>41.6666666666667</v>
      </c>
      <c r="D10" s="13" t="s">
        <v>12</v>
      </c>
    </row>
    <row r="11" customFormat="false" ht="15" hidden="false" customHeight="true" outlineLevel="0" collapsed="false">
      <c r="A11" s="14" t="s">
        <v>13</v>
      </c>
      <c r="B11" s="15" t="n">
        <f aca="false">SUM(B9:B10)</f>
        <v>9200</v>
      </c>
      <c r="C11" s="15" t="n">
        <f aca="false">B11/$B$5</f>
        <v>766.666666666667</v>
      </c>
      <c r="D11" s="16"/>
    </row>
    <row r="13" customFormat="false" ht="15" hidden="false" customHeight="true" outlineLevel="0" collapsed="false">
      <c r="A13" s="9" t="s">
        <v>14</v>
      </c>
      <c r="B13" s="9"/>
      <c r="C13" s="9"/>
      <c r="D13" s="9"/>
    </row>
    <row r="14" customFormat="false" ht="21.75" hidden="false" customHeight="true" outlineLevel="0" collapsed="false">
      <c r="A14" s="10" t="s">
        <v>15</v>
      </c>
      <c r="B14" s="11" t="n">
        <v>1620</v>
      </c>
      <c r="C14" s="12" t="n">
        <f aca="false">B14/$B$5</f>
        <v>135</v>
      </c>
      <c r="D14" s="17" t="s">
        <v>16</v>
      </c>
    </row>
    <row r="15" customFormat="false" ht="15" hidden="false" customHeight="true" outlineLevel="0" collapsed="false">
      <c r="A15" s="10" t="s">
        <v>17</v>
      </c>
      <c r="B15" s="11" t="n">
        <v>900</v>
      </c>
      <c r="C15" s="12" t="n">
        <f aca="false">B15/$B$5</f>
        <v>75</v>
      </c>
      <c r="D15" s="17" t="s">
        <v>18</v>
      </c>
    </row>
    <row r="16" customFormat="false" ht="15" hidden="false" customHeight="true" outlineLevel="0" collapsed="false">
      <c r="A16" s="10" t="s">
        <v>19</v>
      </c>
      <c r="B16" s="11" t="n">
        <v>150</v>
      </c>
      <c r="C16" s="12" t="n">
        <f aca="false">B16/$B$5</f>
        <v>12.5</v>
      </c>
      <c r="D16" s="17" t="s">
        <v>20</v>
      </c>
    </row>
    <row r="17" customFormat="false" ht="15" hidden="false" customHeight="true" outlineLevel="0" collapsed="false">
      <c r="A17" s="14" t="s">
        <v>21</v>
      </c>
      <c r="B17" s="15" t="n">
        <f aca="false">SUM(B14:B16)</f>
        <v>2670</v>
      </c>
      <c r="C17" s="15" t="n">
        <f aca="false">B17/$B$5</f>
        <v>222.5</v>
      </c>
      <c r="D17" s="16"/>
    </row>
    <row r="19" customFormat="false" ht="15" hidden="false" customHeight="true" outlineLevel="0" collapsed="false">
      <c r="A19" s="9" t="s">
        <v>22</v>
      </c>
      <c r="B19" s="9"/>
      <c r="C19" s="9"/>
      <c r="D19" s="9"/>
    </row>
    <row r="20" customFormat="false" ht="21.75" hidden="false" customHeight="true" outlineLevel="0" collapsed="false">
      <c r="A20" s="10" t="s">
        <v>23</v>
      </c>
      <c r="B20" s="11" t="n">
        <v>600</v>
      </c>
      <c r="C20" s="12" t="n">
        <f aca="false">B20/$B$5</f>
        <v>50</v>
      </c>
      <c r="D20" s="17" t="s">
        <v>24</v>
      </c>
    </row>
    <row r="21" customFormat="false" ht="15" hidden="false" customHeight="true" outlineLevel="0" collapsed="false">
      <c r="A21" s="10" t="s">
        <v>25</v>
      </c>
      <c r="B21" s="11" t="n">
        <v>600</v>
      </c>
      <c r="C21" s="12" t="n">
        <f aca="false">B21/$B$5</f>
        <v>50</v>
      </c>
      <c r="D21" s="17" t="s">
        <v>26</v>
      </c>
    </row>
    <row r="22" customFormat="false" ht="15" hidden="false" customHeight="true" outlineLevel="0" collapsed="false">
      <c r="A22" s="10" t="s">
        <v>27</v>
      </c>
      <c r="B22" s="11" t="n">
        <v>600</v>
      </c>
      <c r="C22" s="12" t="n">
        <f aca="false">B22/$B$5</f>
        <v>50</v>
      </c>
      <c r="D22" s="17" t="s">
        <v>26</v>
      </c>
    </row>
    <row r="23" customFormat="false" ht="15" hidden="false" customHeight="true" outlineLevel="0" collapsed="false">
      <c r="A23" s="10" t="s">
        <v>28</v>
      </c>
      <c r="B23" s="11" t="n">
        <v>600</v>
      </c>
      <c r="C23" s="12" t="n">
        <f aca="false">B23/$B$5</f>
        <v>50</v>
      </c>
      <c r="D23" s="17" t="s">
        <v>26</v>
      </c>
    </row>
    <row r="24" customFormat="false" ht="23.25" hidden="false" customHeight="true" outlineLevel="0" collapsed="false">
      <c r="A24" s="10" t="s">
        <v>29</v>
      </c>
      <c r="B24" s="11" t="n">
        <v>108</v>
      </c>
      <c r="C24" s="12" t="n">
        <f aca="false">B24/$B$5</f>
        <v>9</v>
      </c>
      <c r="D24" s="17"/>
    </row>
    <row r="25" customFormat="false" ht="21.75" hidden="false" customHeight="true" outlineLevel="0" collapsed="false">
      <c r="A25" s="14" t="s">
        <v>30</v>
      </c>
      <c r="B25" s="15" t="n">
        <f aca="false">SUM(B20:B24)</f>
        <v>2508</v>
      </c>
      <c r="C25" s="15" t="n">
        <f aca="false">B25/$B$5</f>
        <v>209</v>
      </c>
      <c r="D25" s="16" t="s">
        <v>31</v>
      </c>
    </row>
    <row r="27" customFormat="false" ht="15" hidden="false" customHeight="true" outlineLevel="0" collapsed="false">
      <c r="A27" s="9" t="s">
        <v>32</v>
      </c>
      <c r="B27" s="9"/>
      <c r="C27" s="9"/>
      <c r="D27" s="9"/>
    </row>
    <row r="28" customFormat="false" ht="21.75" hidden="false" customHeight="true" outlineLevel="0" collapsed="false">
      <c r="A28" s="10" t="s">
        <v>33</v>
      </c>
      <c r="B28" s="12" t="n">
        <f aca="false">C28*$B$5</f>
        <v>1101.6</v>
      </c>
      <c r="C28" s="11" t="n">
        <v>91.8</v>
      </c>
      <c r="D28" s="17" t="s">
        <v>34</v>
      </c>
    </row>
    <row r="29" customFormat="false" ht="21.75" hidden="false" customHeight="true" outlineLevel="0" collapsed="false">
      <c r="A29" s="10" t="s">
        <v>35</v>
      </c>
      <c r="B29" s="11" t="n">
        <v>745</v>
      </c>
      <c r="C29" s="12" t="n">
        <f aca="false">B29/$B$5</f>
        <v>62.0833333333333</v>
      </c>
      <c r="D29" s="17" t="s">
        <v>36</v>
      </c>
    </row>
    <row r="30" customFormat="false" ht="21.75" hidden="false" customHeight="true" outlineLevel="0" collapsed="false">
      <c r="A30" s="10" t="s">
        <v>37</v>
      </c>
      <c r="B30" s="12" t="n">
        <f aca="false">C30*$B$5</f>
        <v>505.44</v>
      </c>
      <c r="C30" s="11" t="n">
        <v>42.12</v>
      </c>
      <c r="D30" s="17" t="s">
        <v>38</v>
      </c>
    </row>
    <row r="31" customFormat="false" ht="21.75" hidden="false" customHeight="true" outlineLevel="0" collapsed="false">
      <c r="A31" s="10" t="s">
        <v>39</v>
      </c>
      <c r="B31" s="12" t="n">
        <f aca="false">C31*$B$5</f>
        <v>194.4</v>
      </c>
      <c r="C31" s="11" t="n">
        <v>16.2</v>
      </c>
      <c r="D31" s="13" t="s">
        <v>40</v>
      </c>
    </row>
    <row r="32" customFormat="false" ht="15" hidden="false" customHeight="true" outlineLevel="0" collapsed="false">
      <c r="A32" s="10" t="s">
        <v>41</v>
      </c>
      <c r="B32" s="12" t="n">
        <f aca="false">C32*$B$5</f>
        <v>181.44</v>
      </c>
      <c r="C32" s="11" t="n">
        <v>15.12</v>
      </c>
      <c r="D32" s="17" t="s">
        <v>42</v>
      </c>
    </row>
    <row r="33" customFormat="false" ht="15" hidden="false" customHeight="true" outlineLevel="0" collapsed="false">
      <c r="A33" s="14" t="s">
        <v>43</v>
      </c>
      <c r="B33" s="15" t="n">
        <f aca="false">SUM(B28:B32)</f>
        <v>2727.88</v>
      </c>
      <c r="C33" s="15" t="n">
        <f aca="false">B33/$B$5</f>
        <v>227.323333333333</v>
      </c>
      <c r="D33" s="16" t="s">
        <v>44</v>
      </c>
    </row>
    <row r="35" customFormat="false" ht="19.5" hidden="false" customHeight="true" outlineLevel="0" collapsed="false">
      <c r="A35" s="7" t="s">
        <v>45</v>
      </c>
      <c r="B35" s="18" t="n">
        <f aca="false">B11+B17+B25+B33</f>
        <v>17105.88</v>
      </c>
      <c r="C35" s="18" t="n">
        <f aca="false">B35/$B$5</f>
        <v>1425.49</v>
      </c>
      <c r="D35" s="19" t="s">
        <v>46</v>
      </c>
    </row>
    <row r="36" customFormat="false" ht="19.5" hidden="false" customHeight="true" outlineLevel="0" collapsed="false">
      <c r="A36" s="20" t="s">
        <v>47</v>
      </c>
      <c r="B36" s="21"/>
      <c r="C36" s="22" t="n">
        <f aca="false">C35</f>
        <v>1425.49</v>
      </c>
      <c r="D36" s="23" t="s">
        <v>48</v>
      </c>
    </row>
    <row r="38" customFormat="false" ht="15" hidden="false" customHeight="true" outlineLevel="0" collapsed="false">
      <c r="A38" s="24" t="s">
        <v>49</v>
      </c>
      <c r="B38" s="24"/>
      <c r="C38" s="24"/>
      <c r="D38" s="24"/>
    </row>
    <row r="39" customFormat="false" ht="15" hidden="false" customHeight="true" outlineLevel="0" collapsed="false">
      <c r="A39" s="25" t="s">
        <v>50</v>
      </c>
      <c r="B39" s="25"/>
      <c r="C39" s="25"/>
      <c r="D39" s="25"/>
    </row>
    <row r="40" customFormat="false" ht="15" hidden="false" customHeight="true" outlineLevel="0" collapsed="false">
      <c r="A40" s="25" t="s">
        <v>51</v>
      </c>
      <c r="B40" s="25"/>
      <c r="C40" s="25"/>
      <c r="D40" s="25"/>
    </row>
    <row r="41" customFormat="false" ht="15" hidden="false" customHeight="true" outlineLevel="0" collapsed="false">
      <c r="A41" s="25" t="s">
        <v>52</v>
      </c>
      <c r="B41" s="25"/>
      <c r="C41" s="25"/>
      <c r="D41" s="25"/>
    </row>
    <row r="42" customFormat="false" ht="15" hidden="false" customHeight="true" outlineLevel="0" collapsed="false">
      <c r="A42" s="25" t="s">
        <v>53</v>
      </c>
      <c r="B42" s="25"/>
      <c r="C42" s="25"/>
      <c r="D42" s="25"/>
    </row>
  </sheetData>
  <mergeCells count="12">
    <mergeCell ref="A1:D1"/>
    <mergeCell ref="A2:D2"/>
    <mergeCell ref="A3:D3"/>
    <mergeCell ref="A8:D8"/>
    <mergeCell ref="A13:D13"/>
    <mergeCell ref="A19:D19"/>
    <mergeCell ref="A27:D27"/>
    <mergeCell ref="A38:D38"/>
    <mergeCell ref="A39:D39"/>
    <mergeCell ref="A40:D40"/>
    <mergeCell ref="A41:D41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8"/>
  </cols>
  <sheetData>
    <row r="1" customFormat="false" ht="17.25" hidden="false" customHeight="true" outlineLevel="0" collapsed="false">
      <c r="A1" s="2" t="s">
        <v>54</v>
      </c>
      <c r="B1" s="2"/>
      <c r="C1" s="2"/>
    </row>
    <row r="2" customFormat="false" ht="15" hidden="false" customHeight="true" outlineLevel="0" collapsed="false">
      <c r="A2" s="3" t="s">
        <v>55</v>
      </c>
      <c r="B2" s="3"/>
      <c r="C2" s="3"/>
    </row>
    <row r="4" customFormat="false" ht="18" hidden="false" customHeight="true" outlineLevel="0" collapsed="false">
      <c r="A4" s="7" t="s">
        <v>56</v>
      </c>
      <c r="B4" s="8" t="s">
        <v>57</v>
      </c>
      <c r="C4" s="7" t="s">
        <v>7</v>
      </c>
    </row>
    <row r="5" customFormat="false" ht="15" hidden="false" customHeight="true" outlineLevel="0" collapsed="false">
      <c r="A5" s="9" t="s">
        <v>58</v>
      </c>
      <c r="B5" s="9"/>
      <c r="C5" s="9"/>
    </row>
    <row r="6" customFormat="false" ht="15" hidden="false" customHeight="true" outlineLevel="0" collapsed="false">
      <c r="A6" s="10" t="s">
        <v>59</v>
      </c>
      <c r="B6" s="11" t="n">
        <v>100</v>
      </c>
      <c r="C6" s="17" t="s">
        <v>60</v>
      </c>
    </row>
    <row r="7" customFormat="false" ht="15" hidden="false" customHeight="true" outlineLevel="0" collapsed="false">
      <c r="A7" s="10" t="s">
        <v>61</v>
      </c>
      <c r="B7" s="11" t="n">
        <v>50</v>
      </c>
      <c r="C7" s="17" t="s">
        <v>62</v>
      </c>
    </row>
    <row r="8" customFormat="false" ht="15" hidden="false" customHeight="true" outlineLevel="0" collapsed="false">
      <c r="A8" s="10" t="s">
        <v>63</v>
      </c>
      <c r="B8" s="11" t="n">
        <v>40</v>
      </c>
      <c r="C8" s="17" t="s">
        <v>64</v>
      </c>
    </row>
    <row r="9" customFormat="false" ht="15" hidden="false" customHeight="true" outlineLevel="0" collapsed="false">
      <c r="A9" s="14" t="s">
        <v>65</v>
      </c>
      <c r="B9" s="15" t="n">
        <f aca="false">SUM(B6:B8)</f>
        <v>190</v>
      </c>
      <c r="C9" s="16"/>
    </row>
    <row r="11" customFormat="false" ht="15" hidden="false" customHeight="true" outlineLevel="0" collapsed="false">
      <c r="A11" s="9" t="s">
        <v>66</v>
      </c>
      <c r="B11" s="9"/>
      <c r="C11" s="9"/>
    </row>
    <row r="12" customFormat="false" ht="15" hidden="false" customHeight="true" outlineLevel="0" collapsed="false">
      <c r="A12" s="10" t="s">
        <v>67</v>
      </c>
      <c r="B12" s="11" t="n">
        <v>80</v>
      </c>
      <c r="C12" s="17" t="s">
        <v>68</v>
      </c>
    </row>
    <row r="13" customFormat="false" ht="15" hidden="false" customHeight="true" outlineLevel="0" collapsed="false">
      <c r="A13" s="10" t="s">
        <v>69</v>
      </c>
      <c r="B13" s="11" t="n">
        <v>50</v>
      </c>
      <c r="C13" s="17" t="s">
        <v>70</v>
      </c>
    </row>
    <row r="14" customFormat="false" ht="15" hidden="false" customHeight="true" outlineLevel="0" collapsed="false">
      <c r="A14" s="14" t="s">
        <v>71</v>
      </c>
      <c r="B14" s="15" t="n">
        <f aca="false">SUM(B12:B13)</f>
        <v>130</v>
      </c>
      <c r="C14" s="16"/>
    </row>
    <row r="16" customFormat="false" ht="15" hidden="false" customHeight="true" outlineLevel="0" collapsed="false">
      <c r="A16" s="9" t="s">
        <v>72</v>
      </c>
      <c r="B16" s="9"/>
      <c r="C16" s="9"/>
    </row>
    <row r="17" customFormat="false" ht="23.25" hidden="false" customHeight="true" outlineLevel="0" collapsed="false">
      <c r="A17" s="10" t="s">
        <v>73</v>
      </c>
      <c r="B17" s="11" t="n">
        <v>504</v>
      </c>
      <c r="C17" s="13" t="s">
        <v>74</v>
      </c>
    </row>
    <row r="18" customFormat="false" ht="15" hidden="false" customHeight="true" outlineLevel="0" collapsed="false">
      <c r="A18" s="10" t="s">
        <v>75</v>
      </c>
      <c r="B18" s="11" t="n">
        <v>0</v>
      </c>
      <c r="C18" s="13" t="s">
        <v>76</v>
      </c>
    </row>
    <row r="19" customFormat="false" ht="32.25" hidden="false" customHeight="true" outlineLevel="0" collapsed="false">
      <c r="A19" s="10" t="s">
        <v>77</v>
      </c>
      <c r="B19" s="12" t="n">
        <f aca="false">'Guest Cost Breakdown'!$B$5*150*1.08</f>
        <v>1944</v>
      </c>
      <c r="C19" s="13" t="s">
        <v>78</v>
      </c>
    </row>
    <row r="20" customFormat="false" ht="15" hidden="false" customHeight="true" outlineLevel="0" collapsed="false">
      <c r="A20" s="14" t="s">
        <v>79</v>
      </c>
      <c r="B20" s="15" t="n">
        <f aca="false">SUM(B17:B19)</f>
        <v>2448</v>
      </c>
      <c r="C20" s="16"/>
    </row>
    <row r="22" customFormat="false" ht="15" hidden="false" customHeight="true" outlineLevel="0" collapsed="false">
      <c r="A22" s="9" t="s">
        <v>80</v>
      </c>
      <c r="B22" s="9"/>
      <c r="C22" s="9"/>
    </row>
    <row r="23" customFormat="false" ht="15" hidden="false" customHeight="true" outlineLevel="0" collapsed="false">
      <c r="A23" s="10" t="s">
        <v>81</v>
      </c>
      <c r="B23" s="11" t="n">
        <v>360</v>
      </c>
      <c r="C23" s="17" t="s">
        <v>82</v>
      </c>
    </row>
    <row r="24" customFormat="false" ht="15" hidden="false" customHeight="true" outlineLevel="0" collapsed="false">
      <c r="A24" s="10" t="s">
        <v>83</v>
      </c>
      <c r="B24" s="11" t="n">
        <v>180</v>
      </c>
      <c r="C24" s="17" t="s">
        <v>84</v>
      </c>
    </row>
    <row r="25" customFormat="false" ht="15" hidden="false" customHeight="true" outlineLevel="0" collapsed="false">
      <c r="A25" s="14" t="s">
        <v>85</v>
      </c>
      <c r="B25" s="15" t="n">
        <f aca="false">SUM(B23:B24)</f>
        <v>540</v>
      </c>
      <c r="C25" s="16"/>
    </row>
    <row r="27" customFormat="false" ht="15" hidden="false" customHeight="true" outlineLevel="0" collapsed="false">
      <c r="A27" s="9" t="s">
        <v>86</v>
      </c>
      <c r="B27" s="9"/>
      <c r="C27" s="9"/>
    </row>
    <row r="28" customFormat="false" ht="15" hidden="false" customHeight="true" outlineLevel="0" collapsed="false">
      <c r="A28" s="10" t="s">
        <v>87</v>
      </c>
      <c r="B28" s="11" t="n">
        <v>1000</v>
      </c>
      <c r="C28" s="17" t="s">
        <v>88</v>
      </c>
    </row>
    <row r="30" customFormat="false" ht="15" hidden="false" customHeight="true" outlineLevel="0" collapsed="false">
      <c r="A30" s="7" t="s">
        <v>89</v>
      </c>
      <c r="B30" s="18" t="n">
        <f aca="false">B9+B14+B20+B28</f>
        <v>3768</v>
      </c>
      <c r="C30" s="26"/>
    </row>
    <row r="31" customFormat="false" ht="15" hidden="false" customHeight="true" outlineLevel="0" collapsed="false">
      <c r="A31" s="7" t="s">
        <v>90</v>
      </c>
      <c r="B31" s="18" t="n">
        <f aca="false">B30+B25</f>
        <v>4308</v>
      </c>
      <c r="C31" s="19" t="s">
        <v>91</v>
      </c>
    </row>
    <row r="33" customFormat="false" ht="15" hidden="false" customHeight="true" outlineLevel="0" collapsed="false">
      <c r="A33" s="24" t="s">
        <v>92</v>
      </c>
      <c r="B33" s="24"/>
      <c r="C33" s="24"/>
    </row>
    <row r="34" customFormat="false" ht="15" hidden="false" customHeight="true" outlineLevel="0" collapsed="false">
      <c r="A34" s="4" t="s">
        <v>93</v>
      </c>
      <c r="B34" s="4"/>
      <c r="C34" s="4"/>
    </row>
    <row r="35" customFormat="false" ht="15" hidden="false" customHeight="true" outlineLevel="0" collapsed="false">
      <c r="A35" s="4" t="s">
        <v>94</v>
      </c>
      <c r="B35" s="4"/>
      <c r="C35" s="4"/>
    </row>
    <row r="36" customFormat="false" ht="15" hidden="false" customHeight="true" outlineLevel="0" collapsed="false">
      <c r="A36" s="4" t="s">
        <v>95</v>
      </c>
      <c r="B36" s="4"/>
      <c r="C36" s="4"/>
    </row>
    <row r="37" customFormat="false" ht="15" hidden="false" customHeight="true" outlineLevel="0" collapsed="false">
      <c r="A37" s="4" t="s">
        <v>96</v>
      </c>
      <c r="B37" s="4"/>
      <c r="C37" s="4"/>
    </row>
    <row r="38" customFormat="false" ht="15" hidden="false" customHeight="true" outlineLevel="0" collapsed="false">
      <c r="A38" s="4" t="s">
        <v>97</v>
      </c>
      <c r="B38" s="4"/>
      <c r="C38" s="4"/>
    </row>
  </sheetData>
  <mergeCells count="13">
    <mergeCell ref="A1:C1"/>
    <mergeCell ref="A2:C2"/>
    <mergeCell ref="A5:C5"/>
    <mergeCell ref="A11:C11"/>
    <mergeCell ref="A16:C16"/>
    <mergeCell ref="A22:C22"/>
    <mergeCell ref="A27:C27"/>
    <mergeCell ref="A33:C33"/>
    <mergeCell ref="A34:C34"/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2026-09-03T18:14:33Z</dcterms:created>
  <dc:creator>openpyxl</dc:creator>
  <dc:description/>
  <dc:language>en-US</dc:language>
  <cp:lastModifiedBy/>
  <dcterms:modified xsi:type="dcterms:W3CDTF">2026-09-03T18:16:00Z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