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p Co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<sst xmlns="http://schemas.openxmlformats.org/spreadsheetml/2006/main" count="50" uniqueCount="46">
  <si>
    <t xml:space="preserve">TOLS 4.0</t>
  </si>
  <si>
    <t xml:space="preserve">Recharge · Relaunch · Reign</t>
  </si>
  <si>
    <t xml:space="preserve">26 – 31 March 2027  ·  Nueva Andalucía, Marbella</t>
  </si>
  <si>
    <t xml:space="preserve">✦ Our Budget</t>
  </si>
  <si>
    <t xml:space="preserve">Considered down to the last detail — so the only thing left to do is enjoy it.</t>
  </si>
  <si>
    <t xml:space="preserve">Target guest number</t>
  </si>
  <si>
    <t xml:space="preserve">All service is contracted and paid in euros; the villa quote is in USD. Totals below convert everything to USD at €1 = $1.08.</t>
  </si>
  <si>
    <t xml:space="preserve">COST ITEM</t>
  </si>
  <si>
    <t xml:space="preserve">AMOUNT</t>
  </si>
  <si>
    <t xml:space="preserve">USD EQUIVALENT</t>
  </si>
  <si>
    <t xml:space="preserve">PER GUEST (USD)</t>
  </si>
  <si>
    <t xml:space="preserve">VILLA</t>
  </si>
  <si>
    <t xml:space="preserve">Villa — 6 bedrooms, 5 nights, Nueva Andalucía (room-share)</t>
  </si>
  <si>
    <t xml:space="preserve">Daily cleaning — €100 x 5 nights</t>
  </si>
  <si>
    <t xml:space="preserve">Villa subtotal</t>
  </si>
  <si>
    <t xml:space="preserve">—</t>
  </si>
  <si>
    <t xml:space="preserve">CHEF &amp; FOOD</t>
  </si>
  <si>
    <t xml:space="preserve">Private chef — 4 breakfasts + 2 dinners</t>
  </si>
  <si>
    <t xml:space="preserve">Villa groceries — snacks &amp; drinks</t>
  </si>
  <si>
    <t xml:space="preserve">Chef &amp; food subtotal</t>
  </si>
  <si>
    <t xml:space="preserve">TRANSPORT</t>
  </si>
  <si>
    <t xml:space="preserve">~Taxi — Old Town tapas tour, Day 2</t>
  </si>
  <si>
    <t xml:space="preserve">~Taxi — port, boat &amp; flamenco, Day 3</t>
  </si>
  <si>
    <t xml:space="preserve">~Taxi — Day 4 activity</t>
  </si>
  <si>
    <t xml:space="preserve">~Taxi — Nerja &amp; Frigiliana, Day 5</t>
  </si>
  <si>
    <t xml:space="preserve">Ad hoc transport</t>
  </si>
  <si>
    <t xml:space="preserve">Transport subtotal</t>
  </si>
  <si>
    <t xml:space="preserve">ACTIVITIES</t>
  </si>
  <si>
    <t xml:space="preserve">Tapas &amp; walking tour, Day 2</t>
  </si>
  <si>
    <t xml:space="preserve">Private boat charter, 2 hrs — Day 3</t>
  </si>
  <si>
    <t xml:space="preserve">Flamenco show, Day 3 evening</t>
  </si>
  <si>
    <t xml:space="preserve">Marbella Fashion Museum, Day 4 morning</t>
  </si>
  <si>
    <t xml:space="preserve">Nerja Caves, Day 5</t>
  </si>
  <si>
    <t xml:space="preserve">Activities subtotal</t>
  </si>
  <si>
    <t xml:space="preserve">MISCELLANEOUS</t>
  </si>
  <si>
    <t xml:space="preserve">Miscellaneous / ad hoc</t>
  </si>
  <si>
    <t xml:space="preserve">Miscellaneous subtotal</t>
  </si>
  <si>
    <t xml:space="preserve">TOTAL TRIP COST (USD)</t>
  </si>
  <si>
    <t xml:space="preserve">YOUR SHARE (USD)</t>
  </si>
  <si>
    <t xml:space="preserve">✦  MINE TO HOST</t>
  </si>
  <si>
    <t xml:space="preserve">Three moments of the week are my gift to you — already covered, and not part of your total above.</t>
  </si>
  <si>
    <t xml:space="preserve">     ✦  The farewell dinner</t>
  </si>
  <si>
    <t xml:space="preserve">     ✦  Night out at the beach club — Day 2</t>
  </si>
  <si>
    <t xml:space="preserve">     ✦  The fashion show experience — Day 4 evening</t>
  </si>
  <si>
    <t xml:space="preserve">Lunches are the one thing left open, yours to choose each day, as you like.</t>
  </si>
  <si>
    <t xml:space="preserve">The villa is six bedrooms, shared across the twelve of us.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</si>
</sst>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\€#,##0.00;&quot;(€&quot;#,##0.0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73256C"/>
      <name val="Bai Jamjuree"/>
      <family val="0"/>
      <charset val="1"/>
    </font>
    <font>
      <i val="true"/>
      <sz val="11"/>
      <color rgb="FF73256C"/>
      <name val="Bai Jamjuree"/>
      <family val="0"/>
      <charset val="1"/>
    </font>
    <font>
      <i val="true"/>
      <sz val="11"/>
      <color rgb="FF1F1F1F"/>
      <name val="Heebo"/>
      <family val="0"/>
      <charset val="1"/>
    </font>
    <font>
      <b val="true"/>
      <sz val="14"/>
      <color rgb="FF73256C"/>
      <name val="Bai Jamjuree"/>
      <family val="0"/>
      <charset val="1"/>
    </font>
    <font>
      <sz val="10"/>
      <color rgb="FF1F1F1F"/>
      <name val="Heebo"/>
      <family val="0"/>
      <charset val="1"/>
    </font>
    <font>
      <b val="true"/>
      <sz val="10"/>
      <color rgb="FF1F1F1F"/>
      <name val="Heebo"/>
      <family val="0"/>
      <charset val="1"/>
    </font>
    <font>
      <b val="true"/>
      <sz val="11"/>
      <color rgb="FF73256C"/>
      <name val="Heebo"/>
      <family val="0"/>
      <charset val="1"/>
    </font>
    <font>
      <i val="true"/>
      <sz val="8.5"/>
      <color rgb="FF1F1F1F"/>
      <name val="Heebo"/>
      <family val="0"/>
      <charset val="1"/>
    </font>
    <font>
      <b val="true"/>
      <sz val="11"/>
      <color rgb="FFFFFFFF"/>
      <name val="Heebo"/>
      <family val="0"/>
      <charset val="1"/>
    </font>
    <font>
      <b val="true"/>
      <sz val="10.5"/>
      <color rgb="FFFFFFFF"/>
      <name val="Heebo"/>
      <family val="0"/>
      <charset val="1"/>
    </font>
    <font>
      <sz val="10.5"/>
      <color rgb="FF1F1F1F"/>
      <name val="Heebo"/>
      <family val="0"/>
      <charset val="1"/>
    </font>
    <font>
      <b val="true"/>
      <sz val="10.5"/>
      <color rgb="FF73256C"/>
      <name val="Heebo"/>
      <family val="0"/>
      <charset val="1"/>
    </font>
    <font>
      <b val="true"/>
      <sz val="12"/>
      <color rgb="FFFFFFFF"/>
      <name val="Heebo"/>
      <family val="0"/>
      <charset val="1"/>
    </font>
    <font>
      <b val="true"/>
      <sz val="11"/>
      <color rgb="FF1F1F1F"/>
      <name val="Heebo"/>
      <family val="0"/>
      <charset val="1"/>
    </font>
    <font>
      <b val="true"/>
      <sz val="18"/>
      <color rgb="FF73256C"/>
      <name val="Bai Jamjuree"/>
      <family val="0"/>
      <charset val="1"/>
    </font>
    <font>
      <b val="true"/>
      <sz val="15"/>
      <color rgb="FF73256C"/>
      <name val="Bai Jamjuree"/>
      <family val="0"/>
      <charset val="1"/>
    </font>
    <font>
      <i val="true"/>
      <sz val="10"/>
      <color rgb="FF1F1F1F"/>
      <name val="Heeb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6DBEA"/>
        <bgColor rgb="FFF7F5F6"/>
      </patternFill>
    </fill>
    <fill>
      <patternFill patternType="solid">
        <fgColor rgb="FF73256C"/>
        <bgColor rgb="FF993366"/>
      </patternFill>
    </fill>
    <fill>
      <patternFill patternType="solid">
        <fgColor rgb="FFF7F5F6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F6DBEA"/>
      </left>
      <right style="thin">
        <color rgb="FFF6DBEA"/>
      </right>
      <top style="thin">
        <color rgb="FFF6DBEA"/>
      </top>
      <bottom style="thin">
        <color rgb="FFF6DBEA"/>
      </bottom>
      <diagonal/>
    </border>
    <border diagonalUp="false" diagonalDown="false">
      <left style="medium">
        <color rgb="FF73256C"/>
      </left>
      <right style="medium">
        <color rgb="FF73256C"/>
      </right>
      <top style="medium">
        <color rgb="FF73256C"/>
      </top>
      <bottom/>
      <diagonal/>
    </border>
    <border diagonalUp="false" diagonalDown="false">
      <left style="medium">
        <color rgb="FF73256C"/>
      </left>
      <right style="medium">
        <color rgb="FF73256C"/>
      </right>
      <top/>
      <bottom/>
      <diagonal/>
    </border>
    <border diagonalUp="false" diagonalDown="false">
      <left style="medium">
        <color rgb="FF73256C"/>
      </left>
      <right style="medium">
        <color rgb="FF73256C"/>
      </right>
      <top/>
      <bottom style="medium">
        <color rgb="FF73256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3256C"/>
      <rgbColor rgb="FFF7F5F6"/>
      <rgbColor rgb="FFCCFFFF"/>
      <rgbColor rgb="FF660066"/>
      <rgbColor rgb="FFFF8080"/>
      <rgbColor rgb="FF0066CC"/>
      <rgbColor rgb="FFF6DB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3256C"/>
    <pageSetUpPr fitToPage="false"/>
  </sheetPr>
  <dimension ref="A1:D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15"/>
  </cols>
  <sheetData>
    <row r="1" customFormat="false" ht="31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3" customFormat="false" ht="18" hidden="false" customHeight="true" outlineLevel="0" collapsed="false">
      <c r="A3" s="4" t="s">
        <v>2</v>
      </c>
      <c r="B3" s="4"/>
      <c r="C3" s="4"/>
      <c r="D3" s="4"/>
    </row>
    <row r="4" customFormat="false" ht="6" hidden="false" customHeight="true" outlineLevel="0" collapsed="false"/>
    <row r="5" customFormat="false" ht="21.75" hidden="false" customHeight="true" outlineLevel="0" collapsed="false">
      <c r="A5" s="5" t="s">
        <v>3</v>
      </c>
      <c r="B5" s="5"/>
      <c r="C5" s="5"/>
      <c r="D5" s="5"/>
    </row>
    <row r="6" customFormat="false" ht="18" hidden="false" customHeight="true" outlineLevel="0" collapsed="false">
      <c r="A6" s="6" t="s">
        <v>4</v>
      </c>
      <c r="B6" s="6"/>
      <c r="C6" s="6"/>
      <c r="D6" s="6"/>
    </row>
    <row r="8" customFormat="false" ht="19.5" hidden="false" customHeight="true" outlineLevel="0" collapsed="false">
      <c r="A8" s="7" t="s">
        <v>5</v>
      </c>
      <c r="B8" s="8" t="n">
        <v>12</v>
      </c>
    </row>
    <row r="9" customFormat="false" ht="13.5" hidden="false" customHeight="true" outlineLevel="0" collapsed="false">
      <c r="A9" s="9" t="s">
        <v>6</v>
      </c>
      <c r="B9" s="9"/>
      <c r="C9" s="9"/>
      <c r="D9" s="9"/>
    </row>
    <row r="11" customFormat="false" ht="19.5" hidden="false" customHeight="true" outlineLevel="0" collapsed="false">
      <c r="A11" s="10" t="s">
        <v>7</v>
      </c>
      <c r="B11" s="11" t="s">
        <v>8</v>
      </c>
      <c r="C11" s="11" t="s">
        <v>9</v>
      </c>
      <c r="D11" s="11" t="s">
        <v>10</v>
      </c>
    </row>
    <row r="12" customFormat="false" ht="16.5" hidden="false" customHeight="true" outlineLevel="0" collapsed="false">
      <c r="A12" s="12" t="s">
        <v>11</v>
      </c>
      <c r="B12" s="12"/>
      <c r="C12" s="12"/>
      <c r="D12" s="12"/>
    </row>
    <row r="13" customFormat="false" ht="15" hidden="false" customHeight="true" outlineLevel="0" collapsed="false">
      <c r="A13" s="13" t="s">
        <v>12</v>
      </c>
      <c r="B13" s="14" t="n">
        <v>8700</v>
      </c>
      <c r="C13" s="14" t="n">
        <f aca="false">B13</f>
        <v>8700</v>
      </c>
      <c r="D13" s="14" t="n">
        <f aca="false">C13/$B$8</f>
        <v>725</v>
      </c>
    </row>
    <row r="14" customFormat="false" ht="15" hidden="false" customHeight="true" outlineLevel="0" collapsed="false">
      <c r="A14" s="15" t="s">
        <v>13</v>
      </c>
      <c r="B14" s="16" t="n">
        <v>500</v>
      </c>
      <c r="C14" s="17" t="n">
        <f aca="false">B14*1.08</f>
        <v>540</v>
      </c>
      <c r="D14" s="17" t="n">
        <f aca="false">C14/$B$8</f>
        <v>45</v>
      </c>
    </row>
    <row r="15" customFormat="false" ht="15.75" hidden="false" customHeight="true" outlineLevel="0" collapsed="false">
      <c r="A15" s="18" t="s">
        <v>14</v>
      </c>
      <c r="B15" s="19" t="s">
        <v>15</v>
      </c>
      <c r="C15" s="20" t="n">
        <f aca="false">SUM(C13:C14)</f>
        <v>9240</v>
      </c>
      <c r="D15" s="20" t="n">
        <f aca="false">C15/$B$8</f>
        <v>770</v>
      </c>
    </row>
    <row r="17" customFormat="false" ht="16.5" hidden="false" customHeight="true" outlineLevel="0" collapsed="false">
      <c r="A17" s="12" t="s">
        <v>16</v>
      </c>
      <c r="B17" s="12"/>
      <c r="C17" s="12"/>
      <c r="D17" s="12"/>
    </row>
    <row r="18" customFormat="false" ht="15" hidden="false" customHeight="true" outlineLevel="0" collapsed="false">
      <c r="A18" s="13" t="s">
        <v>17</v>
      </c>
      <c r="B18" s="21" t="n">
        <v>3000</v>
      </c>
      <c r="C18" s="14" t="n">
        <f aca="false">B18*1.08</f>
        <v>3240</v>
      </c>
      <c r="D18" s="14" t="n">
        <f aca="false">C18/$B$8</f>
        <v>270</v>
      </c>
    </row>
    <row r="19" customFormat="false" ht="15" hidden="false" customHeight="true" outlineLevel="0" collapsed="false">
      <c r="A19" s="15" t="s">
        <v>18</v>
      </c>
      <c r="B19" s="16" t="n">
        <v>140</v>
      </c>
      <c r="C19" s="17" t="n">
        <f aca="false">B19*1.08</f>
        <v>151.2</v>
      </c>
      <c r="D19" s="17" t="n">
        <f aca="false">C19/$B$8</f>
        <v>12.6</v>
      </c>
    </row>
    <row r="20" customFormat="false" ht="15.75" hidden="false" customHeight="true" outlineLevel="0" collapsed="false">
      <c r="A20" s="18" t="s">
        <v>19</v>
      </c>
      <c r="B20" s="19" t="s">
        <v>15</v>
      </c>
      <c r="C20" s="20" t="n">
        <f aca="false">SUM(C18:C19)</f>
        <v>3391.2</v>
      </c>
      <c r="D20" s="20" t="n">
        <f aca="false">C20/$B$8</f>
        <v>282.6</v>
      </c>
    </row>
    <row r="22" customFormat="false" ht="16.5" hidden="false" customHeight="true" outlineLevel="0" collapsed="false">
      <c r="A22" s="12" t="s">
        <v>20</v>
      </c>
      <c r="B22" s="12"/>
      <c r="C22" s="12"/>
      <c r="D22" s="12"/>
    </row>
    <row r="23" customFormat="false" ht="15" hidden="false" customHeight="true" outlineLevel="0" collapsed="false">
      <c r="A23" s="13" t="s">
        <v>21</v>
      </c>
      <c r="B23" s="21" t="n">
        <v>550</v>
      </c>
      <c r="C23" s="14" t="n">
        <f aca="false">B23*1.08</f>
        <v>594</v>
      </c>
      <c r="D23" s="14" t="n">
        <f aca="false">C23/$B$8</f>
        <v>49.5</v>
      </c>
    </row>
    <row r="24" customFormat="false" ht="15" hidden="false" customHeight="true" outlineLevel="0" collapsed="false">
      <c r="A24" s="15" t="s">
        <v>22</v>
      </c>
      <c r="B24" s="16" t="n">
        <v>550</v>
      </c>
      <c r="C24" s="17" t="n">
        <f aca="false">B24*1.08</f>
        <v>594</v>
      </c>
      <c r="D24" s="17" t="n">
        <f aca="false">C24/$B$8</f>
        <v>49.5</v>
      </c>
    </row>
    <row r="25" customFormat="false" ht="15" hidden="false" customHeight="true" outlineLevel="0" collapsed="false">
      <c r="A25" s="13" t="s">
        <v>23</v>
      </c>
      <c r="B25" s="21" t="n">
        <v>550</v>
      </c>
      <c r="C25" s="14" t="n">
        <f aca="false">B25*1.08</f>
        <v>594</v>
      </c>
      <c r="D25" s="14" t="n">
        <f aca="false">C25/$B$8</f>
        <v>49.5</v>
      </c>
    </row>
    <row r="26" customFormat="false" ht="15" hidden="false" customHeight="true" outlineLevel="0" collapsed="false">
      <c r="A26" s="15" t="s">
        <v>24</v>
      </c>
      <c r="B26" s="16" t="n">
        <v>550</v>
      </c>
      <c r="C26" s="17" t="n">
        <f aca="false">B26*1.08</f>
        <v>594</v>
      </c>
      <c r="D26" s="17" t="n">
        <f aca="false">C26/$B$8</f>
        <v>49.5</v>
      </c>
    </row>
    <row r="27" customFormat="false" ht="15" hidden="false" customHeight="true" outlineLevel="0" collapsed="false">
      <c r="A27" s="13" t="s">
        <v>25</v>
      </c>
      <c r="B27" s="21" t="n">
        <v>100</v>
      </c>
      <c r="C27" s="14" t="n">
        <f aca="false">B27*1.08</f>
        <v>108</v>
      </c>
      <c r="D27" s="14" t="n">
        <f aca="false">C27/$B$8</f>
        <v>9</v>
      </c>
    </row>
    <row r="28" customFormat="false" ht="15.75" hidden="false" customHeight="true" outlineLevel="0" collapsed="false">
      <c r="A28" s="18" t="s">
        <v>26</v>
      </c>
      <c r="B28" s="19" t="s">
        <v>15</v>
      </c>
      <c r="C28" s="20" t="n">
        <f aca="false">SUM(C23:C27)</f>
        <v>2484</v>
      </c>
      <c r="D28" s="20" t="n">
        <f aca="false">C28/$B$8</f>
        <v>207</v>
      </c>
    </row>
    <row r="30" customFormat="false" ht="16.5" hidden="false" customHeight="true" outlineLevel="0" collapsed="false">
      <c r="A30" s="12" t="s">
        <v>27</v>
      </c>
      <c r="B30" s="12"/>
      <c r="C30" s="12"/>
      <c r="D30" s="12"/>
    </row>
    <row r="31" customFormat="false" ht="15" hidden="false" customHeight="true" outlineLevel="0" collapsed="false">
      <c r="A31" s="13" t="s">
        <v>28</v>
      </c>
      <c r="B31" s="21" t="n">
        <f aca="false">85*$B$8</f>
        <v>1020</v>
      </c>
      <c r="C31" s="14" t="n">
        <f aca="false">B31*1.08</f>
        <v>1101.6</v>
      </c>
      <c r="D31" s="14" t="n">
        <f aca="false">C31/$B$8</f>
        <v>91.8</v>
      </c>
    </row>
    <row r="32" customFormat="false" ht="15" hidden="false" customHeight="true" outlineLevel="0" collapsed="false">
      <c r="A32" s="15" t="s">
        <v>29</v>
      </c>
      <c r="B32" s="16" t="n">
        <v>925</v>
      </c>
      <c r="C32" s="17" t="n">
        <f aca="false">B32*1.08</f>
        <v>999</v>
      </c>
      <c r="D32" s="17" t="n">
        <f aca="false">C32/$B$8</f>
        <v>83.25</v>
      </c>
    </row>
    <row r="33" customFormat="false" ht="15" hidden="false" customHeight="true" outlineLevel="0" collapsed="false">
      <c r="A33" s="13" t="s">
        <v>30</v>
      </c>
      <c r="B33" s="21" t="n">
        <f aca="false">39*$B$8</f>
        <v>468</v>
      </c>
      <c r="C33" s="14" t="n">
        <f aca="false">B33*1.08</f>
        <v>505.44</v>
      </c>
      <c r="D33" s="14" t="n">
        <f aca="false">C33/$B$8</f>
        <v>42.12</v>
      </c>
    </row>
    <row r="34" customFormat="false" ht="15" hidden="false" customHeight="true" outlineLevel="0" collapsed="false">
      <c r="A34" s="15" t="s">
        <v>31</v>
      </c>
      <c r="B34" s="16" t="n">
        <f aca="false">11*$B$8</f>
        <v>132</v>
      </c>
      <c r="C34" s="17" t="n">
        <f aca="false">B34*1.08</f>
        <v>142.56</v>
      </c>
      <c r="D34" s="17" t="n">
        <f aca="false">C34/$B$8</f>
        <v>11.88</v>
      </c>
    </row>
    <row r="35" customFormat="false" ht="15" hidden="false" customHeight="true" outlineLevel="0" collapsed="false">
      <c r="A35" s="13" t="s">
        <v>32</v>
      </c>
      <c r="B35" s="21" t="n">
        <f aca="false">14*$B$8</f>
        <v>168</v>
      </c>
      <c r="C35" s="14" t="n">
        <f aca="false">B35*1.08</f>
        <v>181.44</v>
      </c>
      <c r="D35" s="14" t="n">
        <f aca="false">C35/$B$8</f>
        <v>15.12</v>
      </c>
    </row>
    <row r="36" customFormat="false" ht="15.75" hidden="false" customHeight="true" outlineLevel="0" collapsed="false">
      <c r="A36" s="18" t="s">
        <v>33</v>
      </c>
      <c r="B36" s="19" t="s">
        <v>15</v>
      </c>
      <c r="C36" s="20" t="n">
        <f aca="false">SUM(C31:C35)</f>
        <v>2930.04</v>
      </c>
      <c r="D36" s="20" t="n">
        <f aca="false">C36/$B$8</f>
        <v>244.17</v>
      </c>
    </row>
    <row r="38" customFormat="false" ht="16.5" hidden="false" customHeight="true" outlineLevel="0" collapsed="false">
      <c r="A38" s="12" t="s">
        <v>34</v>
      </c>
      <c r="B38" s="12"/>
      <c r="C38" s="12"/>
      <c r="D38" s="12"/>
    </row>
    <row r="39" customFormat="false" ht="15" hidden="false" customHeight="true" outlineLevel="0" collapsed="false">
      <c r="A39" s="13" t="s">
        <v>35</v>
      </c>
      <c r="B39" s="21" t="n">
        <v>100</v>
      </c>
      <c r="C39" s="14" t="n">
        <f aca="false">B39*1.08</f>
        <v>108</v>
      </c>
      <c r="D39" s="14" t="n">
        <f aca="false">C39/$B$8</f>
        <v>9</v>
      </c>
    </row>
    <row r="40" customFormat="false" ht="15.75" hidden="false" customHeight="true" outlineLevel="0" collapsed="false">
      <c r="A40" s="18" t="s">
        <v>36</v>
      </c>
      <c r="B40" s="19" t="s">
        <v>15</v>
      </c>
      <c r="C40" s="20" t="n">
        <f aca="false">SUM(C39)</f>
        <v>108</v>
      </c>
      <c r="D40" s="20" t="n">
        <f aca="false">C40/$B$8</f>
        <v>9</v>
      </c>
    </row>
    <row r="42" customFormat="false" ht="21.75" hidden="false" customHeight="true" outlineLevel="0" collapsed="false">
      <c r="A42" s="22" t="s">
        <v>37</v>
      </c>
      <c r="B42" s="23"/>
      <c r="C42" s="24" t="n">
        <f aca="false">C15+C20+C28+C36+C40</f>
        <v>18153.24</v>
      </c>
      <c r="D42" s="24" t="n">
        <f aca="false">C42/$B$8</f>
        <v>1512.77</v>
      </c>
    </row>
    <row r="43" customFormat="false" ht="31.5" hidden="false" customHeight="true" outlineLevel="0" collapsed="false">
      <c r="A43" s="25" t="s">
        <v>38</v>
      </c>
      <c r="B43" s="25"/>
      <c r="C43" s="25"/>
      <c r="D43" s="26" t="n">
        <f aca="false">D42</f>
        <v>1512.77</v>
      </c>
    </row>
    <row r="45" customFormat="false" ht="25.5" hidden="false" customHeight="true" outlineLevel="0" collapsed="false">
      <c r="A45" s="27" t="s">
        <v>39</v>
      </c>
      <c r="B45" s="27"/>
      <c r="C45" s="27"/>
      <c r="D45" s="27"/>
    </row>
    <row r="46" customFormat="false" ht="15.75" hidden="false" customHeight="true" outlineLevel="0" collapsed="false">
      <c r="A46" s="28" t="s">
        <v>40</v>
      </c>
      <c r="B46" s="28"/>
      <c r="C46" s="28"/>
      <c r="D46" s="28"/>
    </row>
    <row r="47" customFormat="false" ht="18" hidden="false" customHeight="true" outlineLevel="0" collapsed="false">
      <c r="A47" s="29" t="s">
        <v>41</v>
      </c>
      <c r="B47" s="29"/>
      <c r="C47" s="29"/>
      <c r="D47" s="29"/>
    </row>
    <row r="48" customFormat="false" ht="18" hidden="false" customHeight="true" outlineLevel="0" collapsed="false">
      <c r="A48" s="29" t="s">
        <v>42</v>
      </c>
      <c r="B48" s="29"/>
      <c r="C48" s="29"/>
      <c r="D48" s="29"/>
    </row>
    <row r="49" customFormat="false" ht="18" hidden="false" customHeight="true" outlineLevel="0" collapsed="false">
      <c r="A49" s="29" t="s">
        <v>43</v>
      </c>
      <c r="B49" s="29"/>
      <c r="C49" s="29"/>
      <c r="D49" s="29"/>
    </row>
    <row r="50" customFormat="false" ht="15.75" hidden="false" customHeight="true" outlineLevel="0" collapsed="false">
      <c r="A50" s="28" t="s">
        <v>44</v>
      </c>
      <c r="B50" s="28"/>
      <c r="C50" s="28"/>
      <c r="D50" s="28"/>
    </row>
    <row r="51" customFormat="false" ht="15.75" hidden="false" customHeight="true" outlineLevel="0" collapsed="false">
      <c r="A51" s="30" t="s">
        <v>45</v>
      </c>
      <c r="B51" s="30"/>
      <c r="C51" s="30"/>
      <c r="D51" s="30"/>
    </row>
  </sheetData>
  <mergeCells count="19">
    <mergeCell ref="A1:D1"/>
    <mergeCell ref="A2:D2"/>
    <mergeCell ref="A3:D3"/>
    <mergeCell ref="A5:D5"/>
    <mergeCell ref="A6:D6"/>
    <mergeCell ref="A9:D9"/>
    <mergeCell ref="A12:D12"/>
    <mergeCell ref="A17:D17"/>
    <mergeCell ref="A22:D22"/>
    <mergeCell ref="A30:D30"/>
    <mergeCell ref="A38:D38"/>
    <mergeCell ref="A43:C43"/>
    <mergeCell ref="A45:D45"/>
    <mergeCell ref="A46:D46"/>
    <mergeCell ref="A47:D47"/>
    <mergeCell ref="A48:D48"/>
    <mergeCell ref="A49:D49"/>
    <mergeCell ref="A50:D50"/>
    <mergeCell ref="A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2026-09-03T19:35:41Z</dcterms:created>
  <dc:creator>openpyxl</dc:creator>
  <dc:description/>
  <dc:language>en-US</dc:language>
  <cp:lastModifiedBy/>
  <dcterms:modified xsi:type="dcterms:W3CDTF">2026-09-03T19:53:50Z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